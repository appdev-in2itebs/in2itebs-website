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52e17f58be4c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Scope" sheetId="1" r:id="Rade50374ebaa4d55"/>
    <x:sheet xmlns:r="http://schemas.openxmlformats.org/officeDocument/2006/relationships" name="Quote &amp; SLA" sheetId="2" r:id="R142b67e437e941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₹#,##0"/>
  </x:numFmts>
  <x:fonts count="8">
    <x:font>
      <x:sz val="11"/>
      <x:name val="Carlito"/>
    </x:font>
    <x:font>
      <x:b/>
      <x:sz val="17"/>
      <x:color rgb="FFFFFFFF"/>
      <x:name val="Calibri"/>
    </x:font>
    <x:font>
      <x:sz val="10"/>
      <x:color rgb="FF183B56"/>
      <x:name val="Calibri"/>
    </x:font>
    <x:font>
      <x:b/>
      <x:sz val="9"/>
      <x:color rgb="FFFFFFFF"/>
      <x:name val="Calibri"/>
    </x:font>
    <x:font>
      <x:sz val="9"/>
      <x:color rgb="FF1F2937"/>
      <x:name val="Calibri"/>
    </x:font>
    <x:font>
      <x:b/>
      <x:sz val="9"/>
      <x:color rgb="FF183B56"/>
      <x:name val="Calibri"/>
    </x:font>
    <x:font>
      <x:b/>
      <x:sz val="10"/>
      <x:color rgb="FFFFFFFF"/>
      <x:name val="Calibri"/>
    </x:font>
    <x:font>
      <x:b/>
      <x:sz val="10"/>
      <x:color rgb="FF183B56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EAF1F5"/>
      </x:patternFill>
    </x:fill>
    <x:fill>
      <x:patternFill patternType="solid">
        <x:fgColor rgb="FFFFF4CC"/>
      </x:patternFill>
    </x:fill>
    <x:fill>
      <x:patternFill patternType="solid">
        <x:fgColor rgb="FF245B78"/>
      </x:patternFill>
    </x:fill>
    <x:fill>
      <x:patternFill patternType="solid">
        <x:fgColor rgb="FFE7F5F2"/>
      </x:patternFill>
    </x:fill>
    <x:fill>
      <x:patternFill patternType="solid">
        <x:fgColor rgb="FFF3F5F7"/>
      </x:patternFill>
    </x:fill>
  </x:fills>
  <x:borders count="5">
    <x:border/>
    <x:border>
      <x:left style="thin">
        <x:color rgb="FFD5DCE2"/>
      </x:left>
      <x:right style="thin">
        <x:color rgb="FFD5DCE2"/>
      </x:right>
      <x:top style="thin">
        <x:color rgb="FFD5DCE2"/>
      </x:top>
      <x:bottom style="thin">
        <x:color rgb="FFD5DCE2"/>
      </x:bottom>
    </x:border>
    <x:border>
      <x:bottom style="thin">
        <x:color rgb="FFD5DCE2"/>
      </x:bottom>
    </x:border>
    <x:border>
      <x:top style="thin">
        <x:color rgb="FFD5DCE2"/>
      </x:top>
      <x:bottom style="thin">
        <x:color rgb="FFD5DCE2"/>
      </x:bottom>
    </x:border>
    <x:border>
      <x:left style="medium">
        <x:color rgb="FF008C7A"/>
      </x:left>
      <x:right style="medium">
        <x:color rgb="FF008C7A"/>
      </x:right>
      <x:top style="medium">
        <x:color rgb="FF008C7A"/>
      </x:top>
      <x:bottom style="medium">
        <x:color rgb="FF008C7A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4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4" xfId="0" applyNumberFormat="1" applyFont="1" applyFill="1" applyBorder="1"/>
    <x:xf numFmtId="0" fontId="7" fillId="6" borderId="4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vertical="center" wrapText="1"/>
    </x:xf>
    <x:xf numFmtId="201" fontId="7" fillId="6" borderId="4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8A5A00"/>
      </x:font>
      <x:fill>
        <x:patternFill patternType="solid">
          <x:bgColor rgb="FFFFF0C2"/>
        </x:patternFill>
      </x:fill>
    </x:dxf>
    <x:dxf>
      <x:font>
        <x:b/>
        <x:color rgb="FF9B1C1C"/>
      </x:font>
      <x:fill>
        <x:patternFill patternType="solid">
          <x:bgColor rgb="FFFCE1E1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8A5A00"/>
      </x:font>
      <x:fill>
        <x:patternFill patternType="solid">
          <x:bgColor rgb="FFFFF0C2"/>
        </x:patternFill>
      </x:fill>
    </x:dxf>
    <x:dxf>
      <x:font>
        <x:b/>
        <x:color rgb="FF9B1C1C"/>
      </x:font>
      <x:fill>
        <x:patternFill patternType="solid">
          <x:bgColor rgb="FFFC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3d1f675a6424e" /><Relationship Type="http://schemas.openxmlformats.org/officeDocument/2006/relationships/theme" Target="/xl/theme/theme1.xml" Id="Rb19d774f7b88407d" /><Relationship Type="http://schemas.openxmlformats.org/officeDocument/2006/relationships/sharedStrings" Target="/xl/sharedStrings.xml" Id="R4546d303aff64cfd" /><Relationship Type="http://schemas.openxmlformats.org/officeDocument/2006/relationships/worksheet" Target="/xl/worksheets/sheet1.xml" Id="Rade50374ebaa4d55" /><Relationship Type="http://schemas.openxmlformats.org/officeDocument/2006/relationships/worksheet" Target="/xl/worksheets/sheet2.xml" Id="R142b67e437e941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78" hidden="0" customWidth="1"/>
    <x:col min="5" max="5" width="20" hidden="0" customWidth="1"/>
    <x:col min="6" max="6" width="20" hidden="0" customWidth="1"/>
    <x:col min="7" max="7" width="42" hidden="0" customWidth="1"/>
  </x:cols>
  <x:sheetData>
    <x:row r="1" ht="34" customHeight="1">
      <x:c r="A1" s="3" t="str">
        <x:v>In2IT EBS - Like-for-Like Final Scope</x:v>
      </x:c>
      <x:c r="B1" s="3"/>
      <x:c r="C1" s="3"/>
      <x:c r="D1" s="3"/>
      <x:c r="E1" s="3"/>
      <x:c r="F1" s="3"/>
      <x:c r="G1" s="3"/>
    </x:row>
    <x:row r="2" ht="34" customHeight="1">
      <x:c r="A2" s="7" t="str">
        <x:v>All vendors must quote this exact baseline. Country scope: India + UAE. Language: English. Quote website and monthly retainer separately.</x:v>
      </x:c>
      <x:c r="B2" s="7"/>
      <x:c r="C2" s="7"/>
      <x:c r="D2" s="7"/>
      <x:c r="E2" s="7"/>
      <x:c r="F2" s="7"/>
      <x:c r="G2" s="7"/>
    </x:row>
    <x:row r="4" ht="34" customHeight="1">
      <x:c r="A4" s="12" t="str">
        <x:v>Section</x:v>
      </x:c>
      <x:c r="B4" s="12" t="str">
        <x:v>Scope Item</x:v>
      </x:c>
      <x:c r="C4" s="12" t="str">
        <x:v>Fixed Volume / Basis</x:v>
      </x:c>
      <x:c r="D4" s="12" t="str">
        <x:v>Required Scope</x:v>
      </x:c>
      <x:c r="E4" s="12" t="str">
        <x:v>Priority Tier</x:v>
      </x:c>
      <x:c r="F4" s="12" t="str">
        <x:v>Vendor Compliance</x:v>
      </x:c>
      <x:c r="G4" s="12" t="str">
        <x:v>Exception / Clarification</x:v>
      </x:c>
    </x:row>
    <x:row r="5" ht="21.600000381469727" hidden="0" customHeight="1">
      <x:c r="A5" s="20" t="str">
        <x:v>Engagement</x:v>
      </x:c>
      <x:c r="B5" s="18" t="str">
        <x:v>Country scope</x:v>
      </x:c>
      <x:c r="C5" s="18" t="str">
        <x:v>India + UAE</x:v>
      </x:c>
      <x:c r="D5" s="18" t="str">
        <x:v>Global English website with approved India and UAE content. Manual market selector and valid hreflang where equivalent pages exist. No translation or forced IP redirect.</x:v>
      </x:c>
      <x:c r="E5" s="24" t="str">
        <x:v>Tier 1 - Mandatory</x:v>
      </x:c>
      <x:c r="F5" s="26" t="str"/>
      <x:c r="G5" s="26" t="str"/>
    </x:row>
    <x:row r="6" ht="21.600000381469727" hidden="0" customHeight="1">
      <x:c r="A6" s="21" t="str">
        <x:v>Engagement</x:v>
      </x:c>
      <x:c r="B6" s="19" t="str">
        <x:v>Contract structure</x:v>
      </x:c>
      <x:c r="C6" s="19" t="str">
        <x:v>Website + 12-month retainer</x:v>
      </x:c>
      <x:c r="D6" s="19" t="str">
        <x:v>Separate fixed website fee and flat monthly integrated retainer. First 90 days of retainer treated as a performance review period.</x:v>
      </x:c>
      <x:c r="E6" s="25" t="str">
        <x:v>Tier 1 - Mandatory</x:v>
      </x:c>
      <x:c r="F6" s="27" t="str"/>
      <x:c r="G6" s="27" t="str"/>
    </x:row>
    <x:row r="7" ht="21.600000381469727" hidden="0" customHeight="1">
      <x:c r="A7" s="21" t="str">
        <x:v>Engagement</x:v>
      </x:c>
      <x:c r="B7" s="19" t="str">
        <x:v>Named delivery pod</x:v>
      </x:c>
      <x:c r="C7" s="19" t="str">
        <x:v>Minimum 8 roles</x:v>
      </x:c>
      <x:c r="D7" s="19" t="str">
        <x:v>Account lead, B2B content lead, writer, designer, social/community manager, SEO/AEO lead, web engineer and QA/analytics support. Names, experience and allocation required.</x:v>
      </x:c>
      <x:c r="E7" s="25" t="str">
        <x:v>Tier 1 - Mandatory</x:v>
      </x:c>
      <x:c r="F7" s="27" t="str"/>
      <x:c r="G7" s="27" t="str"/>
    </x:row>
    <x:row r="8" ht="21.600000381469727" hidden="0" customHeight="1">
      <x:c r="A8" s="21" t="str">
        <x:v>Website</x:v>
      </x:c>
      <x:c r="B8" s="19" t="str">
        <x:v>Website size</x:v>
      </x:c>
      <x:c r="C8" s="19" t="str">
        <x:v>35 core pages; 12 templates</x:v>
      </x:c>
      <x:c r="D8" s="19" t="str">
        <x:v>Responsive, editable CMS website covering corporate, services/practices, industries, proof, insights, careers, contact and legal pages.</x:v>
      </x:c>
      <x:c r="E8" s="25" t="str">
        <x:v>Tier 1 - Mandatory</x:v>
      </x:c>
      <x:c r="F8" s="27" t="str"/>
      <x:c r="G8" s="27" t="str"/>
    </x:row>
    <x:row r="9" ht="15" hidden="0" customHeight="1">
      <x:c r="A9" s="21" t="str">
        <x:v>Website</x:v>
      </x:c>
      <x:c r="B9" s="19" t="str">
        <x:v>Legacy migration</x:v>
      </x:c>
      <x:c r="C9" s="19" t="str">
        <x:v>Up to 60 records</x:v>
      </x:c>
      <x:c r="D9" s="19" t="str">
        <x:v>Migrate approved articles, news, events and resources with light formatting, metadata and link cleanup.</x:v>
      </x:c>
      <x:c r="E9" s="25" t="str">
        <x:v>Tier 1 - Mandatory</x:v>
      </x:c>
      <x:c r="F9" s="27" t="str"/>
      <x:c r="G9" s="27" t="str"/>
    </x:row>
    <x:row r="10" ht="21.600000381469727" hidden="0" customHeight="1">
      <x:c r="A10" s="21" t="str">
        <x:v>Website</x:v>
      </x:c>
      <x:c r="B10" s="19" t="str">
        <x:v>Discovery, UX and design</x:v>
      </x:c>
      <x:c r="C10" s="19" t="str">
        <x:v>12-14 week project</x:v>
      </x:c>
      <x:c r="D10" s="19" t="str">
        <x:v>Audit, sitemap, information architecture, wireframes, two homepage directions, responsive design system and two consolidated review rounds per major stage.</x:v>
      </x:c>
      <x:c r="E10" s="25" t="str">
        <x:v>Tier 1 - Mandatory</x:v>
      </x:c>
      <x:c r="F10" s="27" t="str"/>
      <x:c r="G10" s="27" t="str"/>
    </x:row>
    <x:row r="11" ht="21.600000381469727" hidden="0" customHeight="1">
      <x:c r="A11" s="21" t="str">
        <x:v>Website</x:v>
      </x:c>
      <x:c r="B11" s="19" t="str">
        <x:v>CMS and engineering</x:v>
      </x:c>
      <x:c r="C11" s="19" t="str">
        <x:v>Full editable handover</x:v>
      </x:c>
      <x:c r="D11" s="19" t="str">
        <x:v>Role-based CMS, reusable blocks, preview workflow, forms, search, staging, version control, deployment documentation and no unapproved vendor lock-in.</x:v>
      </x:c>
      <x:c r="E11" s="25" t="str">
        <x:v>Tier 1 - Mandatory</x:v>
      </x:c>
      <x:c r="F11" s="27" t="str"/>
      <x:c r="G11" s="27" t="str"/>
    </x:row>
    <x:row r="12" ht="21.600000381469727" hidden="0" customHeight="1">
      <x:c r="A12" s="21" t="str">
        <x:v>Website</x:v>
      </x:c>
      <x:c r="B12" s="19" t="str">
        <x:v>Website content</x:v>
      </x:c>
      <x:c r="C12" s="19" t="str">
        <x:v>Up to 35 core pages</x:v>
      </x:c>
      <x:c r="D12" s="19" t="str">
        <x:v>Rewrite or materially refresh approved core pages, including SEO title, meta description, headings, internal links and CTA. In2IT approves all factual and partner claims.</x:v>
      </x:c>
      <x:c r="E12" s="25" t="str">
        <x:v>Tier 1 - Mandatory</x:v>
      </x:c>
      <x:c r="F12" s="27" t="str"/>
      <x:c r="G12" s="27" t="str"/>
    </x:row>
    <x:row r="13" ht="21.600000381469727" hidden="0" customHeight="1">
      <x:c r="A13" s="21" t="str">
        <x:v>Website</x:v>
      </x:c>
      <x:c r="B13" s="19" t="str">
        <x:v>SEO migration</x:v>
      </x:c>
      <x:c r="C13" s="19" t="str">
        <x:v>Complete URL migration</x:v>
      </x:c>
      <x:c r="D13" s="19" t="str">
        <x:v>Technical SEO, schema, sitemap, robots, canonicals, internal links, old-to-new 301 redirects, pre/post-launch crawl and eight weeks of search monitoring.</x:v>
      </x:c>
      <x:c r="E13" s="25" t="str">
        <x:v>Tier 1 - Mandatory</x:v>
      </x:c>
      <x:c r="F13" s="27" t="str"/>
      <x:c r="G13" s="27" t="str"/>
    </x:row>
    <x:row r="14" ht="15" hidden="0" customHeight="1">
      <x:c r="A14" s="21" t="str">
        <x:v>Website</x:v>
      </x:c>
      <x:c r="B14" s="19" t="str">
        <x:v>Analytics and lead tracking</x:v>
      </x:c>
      <x:c r="C14" s="19" t="str">
        <x:v>GA4 + GTM + GSC</x:v>
      </x:c>
      <x:c r="D14" s="19" t="str">
        <x:v>Track enquiries, CTA clicks, downloads, newsletter actions, job applications and campaign UTMs under In2IT-owned accounts.</x:v>
      </x:c>
      <x:c r="E14" s="25" t="str">
        <x:v>Tier 1 - Mandatory</x:v>
      </x:c>
      <x:c r="F14" s="27" t="str"/>
      <x:c r="G14" s="27" t="str"/>
    </x:row>
    <x:row r="15" ht="21.600000381469727" hidden="0" customHeight="1">
      <x:c r="A15" s="21" t="str">
        <x:v>Website</x:v>
      </x:c>
      <x:c r="B15" s="19" t="str">
        <x:v>Quality and launch</x:v>
      </x:c>
      <x:c r="C15" s="19" t="str">
        <x:v>WCAG 2.2 AA; 60-day warranty</x:v>
      </x:c>
      <x:c r="D15" s="19" t="str">
        <x:v>Mobile/browser QA, accessible templates, Core Web Vitals targets, security testing, administrator training, source-code/design handover and 60-day defect warranty.</x:v>
      </x:c>
      <x:c r="E15" s="25" t="str">
        <x:v>Tier 1 - Mandatory</x:v>
      </x:c>
      <x:c r="F15" s="27" t="str"/>
      <x:c r="G15" s="27" t="str"/>
    </x:row>
    <x:row r="16" ht="21.600000381469727" hidden="0" customHeight="1">
      <x:c r="A16" s="21" t="str">
        <x:v>Monthly Content</x:v>
      </x:c>
      <x:c r="B16" s="19" t="str">
        <x:v>LinkedIn company posts</x:v>
      </x:c>
      <x:c r="C16" s="19" t="str">
        <x:v>12 per month</x:v>
      </x:c>
      <x:c r="D16" s="19" t="str">
        <x:v>Six static/text posts, three carousels up to six slides, two short videos/motion assets and one poll/event/approved format. All 12 include copy, design, CTA and publishing.</x:v>
      </x:c>
      <x:c r="E16" s="25" t="str">
        <x:v>Tier 2 - Monthly Core</x:v>
      </x:c>
      <x:c r="F16" s="27" t="str"/>
      <x:c r="G16" s="27" t="str"/>
    </x:row>
    <x:row r="17" ht="15" hidden="0" customHeight="1">
      <x:c r="A17" s="21" t="str">
        <x:v>Monthly Content</x:v>
      </x:c>
      <x:c r="B17" s="19" t="str">
        <x:v>Secondary-channel adaptations</x:v>
      </x:c>
      <x:c r="C17" s="19" t="str">
        <x:v>Up to 12 per month</x:v>
      </x:c>
      <x:c r="D17" s="19" t="str">
        <x:v>Adapt approved LinkedIn concepts for agreed secondary channels. These are adaptations, not new concepts per channel.</x:v>
      </x:c>
      <x:c r="E17" s="25" t="str">
        <x:v>Tier 2 - Monthly Core</x:v>
      </x:c>
      <x:c r="F17" s="27" t="str"/>
      <x:c r="G17" s="27" t="str"/>
    </x:row>
    <x:row r="18" ht="15" hidden="0" customHeight="1">
      <x:c r="A18" s="21" t="str">
        <x:v>Monthly Content</x:v>
      </x:c>
      <x:c r="B18" s="19" t="str">
        <x:v>Executive advocacy</x:v>
      </x:c>
      <x:c r="C18" s="19" t="str">
        <x:v>4 drafts per month</x:v>
      </x:c>
      <x:c r="D18" s="19" t="str">
        <x:v>Original LinkedIn drafts for approved leaders based on SME inputs. Publishing remains with In2IT or the leader.</x:v>
      </x:c>
      <x:c r="E18" s="25" t="str">
        <x:v>Tier 2 - Monthly Core</x:v>
      </x:c>
      <x:c r="F18" s="27" t="str"/>
      <x:c r="G18" s="27" t="str"/>
    </x:row>
    <x:row r="19" ht="15" hidden="0" customHeight="1">
      <x:c r="A19" s="21" t="str">
        <x:v>Monthly Content</x:v>
      </x:c>
      <x:c r="B19" s="19" t="str">
        <x:v>Long-form articles</x:v>
      </x:c>
      <x:c r="C19" s="19" t="str">
        <x:v>2 per month</x:v>
      </x:c>
      <x:c r="D19" s="19" t="str">
        <x:v>Two expert-led, search-optimised articles of approximately 1,200-1,800 words, including SME input, editing and upload.</x:v>
      </x:c>
      <x:c r="E19" s="25" t="str">
        <x:v>Tier 2 - Monthly Core</x:v>
      </x:c>
      <x:c r="F19" s="27" t="str"/>
      <x:c r="G19" s="27" t="str"/>
    </x:row>
    <x:row r="20" ht="15" hidden="0" customHeight="1">
      <x:c r="A20" s="21" t="str">
        <x:v>Monthly Content</x:v>
      </x:c>
      <x:c r="B20" s="19" t="str">
        <x:v>Practice/solution one-pagers</x:v>
      </x:c>
      <x:c r="C20" s="19" t="str">
        <x:v>2 per month</x:v>
      </x:c>
      <x:c r="D20" s="19" t="str">
        <x:v>Up to two designed pages each, including copy, design and editable source files.</x:v>
      </x:c>
      <x:c r="E20" s="25" t="str">
        <x:v>Tier 2 - Monthly Core</x:v>
      </x:c>
      <x:c r="F20" s="27" t="str"/>
      <x:c r="G20" s="27" t="str"/>
    </x:row>
    <x:row r="21" ht="15" hidden="0" customHeight="1">
      <x:c r="A21" s="21" t="str">
        <x:v>Monthly Content</x:v>
      </x:c>
      <x:c r="B21" s="19" t="str">
        <x:v>Email outputs</x:v>
      </x:c>
      <x:c r="C21" s="19" t="str">
        <x:v>2 per month</x:v>
      </x:c>
      <x:c r="D21" s="19" t="str">
        <x:v>One newsletter and one campaign/nurture email, including copy, design and platform setup.</x:v>
      </x:c>
      <x:c r="E21" s="25" t="str">
        <x:v>Tier 2 - Monthly Core</x:v>
      </x:c>
      <x:c r="F21" s="27" t="str"/>
      <x:c r="G21" s="27" t="str"/>
    </x:row>
    <x:row r="22" ht="15" hidden="0" customHeight="1">
      <x:c r="A22" s="21" t="str">
        <x:v>Monthly Content</x:v>
      </x:c>
      <x:c r="B22" s="19" t="str">
        <x:v>Website/campaign banners</x:v>
      </x:c>
      <x:c r="C22" s="19" t="str">
        <x:v>4 per month</x:v>
      </x:c>
      <x:c r="D22" s="19" t="str">
        <x:v>Standard website, email or campaign banner sizes agreed in the monthly plan.</x:v>
      </x:c>
      <x:c r="E22" s="25" t="str">
        <x:v>Tier 2 - Monthly Core</x:v>
      </x:c>
      <x:c r="F22" s="27" t="str"/>
      <x:c r="G22" s="27" t="str"/>
    </x:row>
    <x:row r="23" ht="15" hidden="0" customHeight="1">
      <x:c r="A23" s="21" t="str">
        <x:v>Quarterly Content</x:v>
      </x:c>
      <x:c r="B23" s="19" t="str">
        <x:v>Case study/customer story</x:v>
      </x:c>
      <x:c r="C23" s="19" t="str">
        <x:v>1 per quarter</x:v>
      </x:c>
      <x:c r="D23" s="19" t="str">
        <x:v>Interview, narrative, designed PDF and web version, subject to customer and legal approval.</x:v>
      </x:c>
      <x:c r="E23" s="25" t="str">
        <x:v>Tier 2 - Monthly Core</x:v>
      </x:c>
      <x:c r="F23" s="27" t="str"/>
      <x:c r="G23" s="27" t="str"/>
    </x:row>
    <x:row r="24" ht="15" hidden="0" customHeight="1">
      <x:c r="A24" s="21" t="str">
        <x:v>Quarterly Content</x:v>
      </x:c>
      <x:c r="B24" s="19" t="str">
        <x:v>Integrated campaign kit</x:v>
      </x:c>
      <x:c r="C24" s="19" t="str">
        <x:v>1 per quarter</x:v>
      </x:c>
      <x:c r="D24" s="19" t="str">
        <x:v>Campaign concept, landing-page brief, four social assets, one email and one sales-enablement asset.</x:v>
      </x:c>
      <x:c r="E24" s="25" t="str">
        <x:v>Tier 2 - Monthly Core</x:v>
      </x:c>
      <x:c r="F24" s="27" t="str"/>
      <x:c r="G24" s="27" t="str"/>
    </x:row>
    <x:row r="25" ht="15" hidden="0" customHeight="1">
      <x:c r="A25" s="21" t="str">
        <x:v>Monthly Content</x:v>
      </x:c>
      <x:c r="B25" s="19" t="str">
        <x:v>Presentation support</x:v>
      </x:c>
      <x:c r="C25" s="19" t="str">
        <x:v>10 slide updates/month</x:v>
      </x:c>
      <x:c r="D25" s="19" t="str">
        <x:v>Alternatively, one new presentation of up to 15 slides per quarter. Major bid decks are outside the base scope.</x:v>
      </x:c>
      <x:c r="E25" s="25" t="str">
        <x:v>Tier 2 - Monthly Core</x:v>
      </x:c>
      <x:c r="F25" s="27" t="str"/>
      <x:c r="G25" s="27" t="str"/>
    </x:row>
    <x:row r="26" ht="21.600000381469727" hidden="0" customHeight="1">
      <x:c r="A26" s="21" t="str">
        <x:v>Growth</x:v>
      </x:c>
      <x:c r="B26" s="19" t="str">
        <x:v>SEO, AEO and GEO</x:v>
      </x:c>
      <x:c r="C26" s="19" t="str">
        <x:v>India + UAE; monthly</x:v>
      </x:c>
      <x:c r="D26" s="19" t="str">
        <x:v>Technical backlog, topic/keyword map, four priority-page optimisations per month, schema/internal linking, indexation monitoring and AI-search visibility work. No ranking guarantees.</x:v>
      </x:c>
      <x:c r="E26" s="25" t="str">
        <x:v>Tier 2 - Monthly Core</x:v>
      </x:c>
      <x:c r="F26" s="27" t="str"/>
      <x:c r="G26" s="27" t="str"/>
    </x:row>
    <x:row r="27" ht="21.600000381469727" hidden="0" customHeight="1">
      <x:c r="A27" s="21" t="str">
        <x:v>Growth</x:v>
      </x:c>
      <x:c r="B27" s="19" t="str">
        <x:v>Digital authority outreach</x:v>
      </x:c>
      <x:c r="C27" s="19" t="str">
        <x:v>2 pitches/month</x:v>
      </x:c>
      <x:c r="D27" s="19" t="str">
        <x:v>Two relevant publication/journalist pitches monthly and one contributed-article pitch per quarter. Placements are not guaranteed and paid placements require approval.</x:v>
      </x:c>
      <x:c r="E27" s="25" t="str">
        <x:v>Tier 2 - Monthly Core</x:v>
      </x:c>
      <x:c r="F27" s="27" t="str"/>
      <x:c r="G27" s="27" t="str"/>
    </x:row>
    <x:row r="28" ht="21.600000381469727" hidden="0" customHeight="1">
      <x:c r="A28" s="21" t="str">
        <x:v>Growth</x:v>
      </x:c>
      <x:c r="B28" s="19" t="str">
        <x:v>Reputation monitoring</x:v>
      </x:c>
      <x:c r="C28" s="19" t="str">
        <x:v>Weekly monitoring</x:v>
      </x:c>
      <x:c r="D28" s="19" t="str">
        <x:v>Monitor Google Business Profiles for eligible offices, Glassdoor, AmbitionBox, Indeed, LinkedIn, Clutch and agreed directories. Separate HR and Marketing approval streams.</x:v>
      </x:c>
      <x:c r="E28" s="25" t="str">
        <x:v>Tier 2 - Monthly Core</x:v>
      </x:c>
      <x:c r="F28" s="27" t="str"/>
      <x:c r="G28" s="27" t="str"/>
    </x:row>
    <x:row r="29" ht="21.600000381469727" hidden="0" customHeight="1">
      <x:c r="A29" s="21" t="str">
        <x:v>Growth</x:v>
      </x:c>
      <x:c r="B29" s="19" t="str">
        <x:v>Review/mention responses</x:v>
      </x:c>
      <x:c r="C29" s="19" t="str">
        <x:v>Up to 20 drafts/month</x:v>
      </x:c>
      <x:c r="D29" s="19" t="str">
        <x:v>Critical issue alert within four business hours; standard response draft within one business day. No fake reviews, incentives or deletion guarantees.</x:v>
      </x:c>
      <x:c r="E29" s="25" t="str">
        <x:v>Tier 2 - Monthly Core</x:v>
      </x:c>
      <x:c r="F29" s="27" t="str"/>
      <x:c r="G29" s="27" t="str"/>
    </x:row>
    <x:row r="30" ht="21.600000381469727" hidden="0" customHeight="1">
      <x:c r="A30" s="21" t="str">
        <x:v>Growth</x:v>
      </x:c>
      <x:c r="B30" s="19" t="str">
        <x:v>Website maintenance</x:v>
      </x:c>
      <x:c r="C30" s="19" t="str">
        <x:v>24 pooled hours/month</x:v>
      </x:c>
      <x:c r="D30" s="19" t="str">
        <x:v>Includes up to one templated landing page, eight routine updates, four content uploads, testing, updates, performance/security review and release support within the hour pool.</x:v>
      </x:c>
      <x:c r="E30" s="25" t="str">
        <x:v>Tier 2 - Monthly Core</x:v>
      </x:c>
      <x:c r="F30" s="27" t="str"/>
      <x:c r="G30" s="27" t="str"/>
    </x:row>
    <x:row r="31" ht="15" hidden="0" customHeight="1">
      <x:c r="A31" s="21" t="str">
        <x:v>Governance</x:v>
      </x:c>
      <x:c r="B31" s="19" t="str">
        <x:v>Planning and meetings</x:v>
      </x:c>
      <x:c r="C31" s="19" t="str">
        <x:v>Weekly/monthly/quarterly</x:v>
      </x:c>
      <x:c r="D31" s="19" t="str">
        <x:v>Weekly operations call, monthly calendar and report, shared tracker, monthly review and quarterly business review.</x:v>
      </x:c>
      <x:c r="E31" s="25" t="str">
        <x:v>Tier 1 - Mandatory</x:v>
      </x:c>
      <x:c r="F31" s="27" t="str"/>
      <x:c r="G31" s="27" t="str"/>
    </x:row>
    <x:row r="32" ht="15" hidden="0" customHeight="1">
      <x:c r="A32" s="21" t="str">
        <x:v>Governance</x:v>
      </x:c>
      <x:c r="B32" s="19" t="str">
        <x:v>Reporting</x:v>
      </x:c>
      <x:c r="C32" s="19" t="str">
        <x:v>Within 5 business days</x:v>
      </x:c>
      <x:c r="D32" s="19" t="str">
        <x:v>Consolidated website, search, social, content, reputation, delivery/SLA and conversion report with source-dashboard access.</x:v>
      </x:c>
      <x:c r="E32" s="25" t="str">
        <x:v>Tier 1 - Mandatory</x:v>
      </x:c>
      <x:c r="F32" s="27" t="str"/>
      <x:c r="G32" s="27" t="str"/>
    </x:row>
    <x:row r="33" ht="21.600000381469727" hidden="0" customHeight="1">
      <x:c r="A33" s="21" t="str">
        <x:v>Governance</x:v>
      </x:c>
      <x:c r="B33" s="19" t="str">
        <x:v>Ownership and data</x:v>
      </x:c>
      <x:c r="C33" s="19" t="str">
        <x:v>Full In2IT ownership</x:v>
      </x:c>
      <x:c r="D33" s="19" t="str">
        <x:v>All accounts, code, creative source, analytics, domains, data and credentials remain under In2IT ownership. DPDP, NDA and AI-data restrictions apply.</x:v>
      </x:c>
      <x:c r="E33" s="25" t="str">
        <x:v>Tier 1 - Mandatory</x:v>
      </x:c>
      <x:c r="F33" s="27" t="str"/>
      <x:c r="G33" s="27" t="str"/>
    </x:row>
    <x:row r="34" ht="15" hidden="0" customHeight="1">
      <x:c r="A34" s="21" t="str">
        <x:v>Commercial</x:v>
      </x:c>
      <x:c r="B34" s="19" t="str">
        <x:v>Payment term</x:v>
      </x:c>
      <x:c r="C34" s="19" t="str">
        <x:v>15 calendar days</x:v>
      </x:c>
      <x:c r="D34" s="19" t="str">
        <x:v>All undisputed website milestone and monthly-retainer invoices payable within 15 calendar days of receipt.</x:v>
      </x:c>
      <x:c r="E34" s="25" t="str">
        <x:v>Tier 1 - Mandatory</x:v>
      </x:c>
      <x:c r="F34" s="27" t="str"/>
      <x:c r="G34" s="27" t="str"/>
    </x:row>
    <x:row r="35" ht="21.600000381469727" hidden="0" customHeight="1">
      <x:c r="A35" s="21" t="str">
        <x:v>Commercial</x:v>
      </x:c>
      <x:c r="B35" s="19" t="str">
        <x:v>Retainer billing</x:v>
      </x:c>
      <x:c r="C35" s="19" t="str">
        <x:v>Monthly in arrears</x:v>
      </x:c>
      <x:c r="D35" s="19" t="str">
        <x:v>One flat monthly amount covering the stated scope. Per-resource pricing may be shown only as supporting detail, not as the commercial basis.</x:v>
      </x:c>
      <x:c r="E35" s="25" t="str">
        <x:v>Tier 1 - Mandatory</x:v>
      </x:c>
      <x:c r="F35" s="27" t="str"/>
      <x:c r="G35" s="27" t="str"/>
    </x:row>
    <x:row r="36" ht="15" hidden="0" customHeight="1">
      <x:c r="A36" s="21" t="str">
        <x:v>Commercial</x:v>
      </x:c>
      <x:c r="B36" s="19" t="str">
        <x:v>Website milestones</x:v>
      </x:c>
      <x:c r="C36" s="19" t="str">
        <x:v>20% / 20% / 25% / 25% / 10%</x:v>
      </x:c>
      <x:c r="D36" s="19" t="str">
        <x:v>Kickoff; IA/wireframes; visual design; UAT-ready staging; and final 10% after launch, handover and 30-day stabilisation.</x:v>
      </x:c>
      <x:c r="E36" s="25" t="str">
        <x:v>Tier 1 - Mandatory</x:v>
      </x:c>
      <x:c r="F36" s="27" t="str"/>
      <x:c r="G36" s="27" t="str"/>
    </x:row>
    <x:row r="37" ht="21.600000381469727" hidden="0" customHeight="1">
      <x:c r="A37" s="21" t="str">
        <x:v>Commercial</x:v>
      </x:c>
      <x:c r="B37" s="19" t="str">
        <x:v>Included/excluded costs</x:v>
      </x:c>
      <x:c r="C37" s="19" t="str">
        <x:v>Transparent Year 1 total</x:v>
      </x:c>
      <x:c r="D37" s="19" t="str">
        <x:v>Quote must separate GST, mandatory tools/licences, optional services and third-party costs. Media spend, travel, major shoots, translation, CRM and AI features are excluded unless separately priced.</x:v>
      </x:c>
      <x:c r="E37" s="25" t="str">
        <x:v>Tier 1 - Mandatory</x:v>
      </x:c>
      <x:c r="F37" s="27" t="str"/>
      <x:c r="G37" s="27" t="str"/>
    </x:row>
  </x:sheetData>
  <x:mergeCells>
    <x:mergeCell ref="A1:G1"/>
    <x:mergeCell ref="A2:G2"/>
  </x:mergeCells>
  <x:conditionalFormatting sqref="F5:F37">
    <x:cfRule type="containsText" dxfId="0" priority="1" operator="containsText" text="Comply"/>
    <x:cfRule type="containsText" dxfId="1" priority="2" operator="containsText" text="Partial"/>
    <x:cfRule type="containsText" dxfId="2" priority="3" operator="containsText" text="Exception"/>
  </x:conditionalFormatting>
  <x:dataValidations count="1">
    <x:dataValidation type="list" sqref="F5:F37">
      <x:formula1>"Comply,Partial,Exception"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12" hidden="0" customWidth="1"/>
    <x:col min="4" max="4" width="23" hidden="0" customWidth="1"/>
    <x:col min="5" max="5" width="23" hidden="0" customWidth="1"/>
    <x:col min="6" max="6" width="15" hidden="0" customWidth="1"/>
    <x:col min="7" max="7" width="23" hidden="0" customWidth="1"/>
    <x:col min="8" max="8" width="38" hidden="0" customWidth="1"/>
  </x:cols>
  <x:sheetData>
    <x:row r="1" ht="34" customHeight="1">
      <x:c r="A1" s="3" t="str">
        <x:v>In2IT EBS - Vendor Quote and Common SLA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Enter only yellow cells. The Year 1 comparable total excludes optional services and uses the same scope for every vendor.</x:v>
      </x:c>
      <x:c r="B2" s="7"/>
      <x:c r="C2" s="7"/>
      <x:c r="D2" s="7"/>
      <x:c r="E2" s="7"/>
      <x:c r="F2" s="7"/>
      <x:c r="G2" s="7"/>
      <x:c r="H2" s="7"/>
    </x:row>
    <x:row r="4" ht="24" customHeight="1">
      <x:c r="A4" s="30" t="str">
        <x:v>A. Comparable Commercial Quote</x:v>
      </x:c>
      <x:c r="B4" s="30"/>
      <x:c r="C4" s="30"/>
      <x:c r="D4" s="30"/>
      <x:c r="E4" s="30"/>
      <x:c r="F4" s="30"/>
      <x:c r="G4" s="30"/>
      <x:c r="H4" s="30"/>
    </x:row>
    <x:row r="5" ht="34" customHeight="1">
      <x:c r="A5" s="12" t="str">
        <x:v>Component</x:v>
      </x:c>
      <x:c r="B5" s="12" t="str">
        <x:v>Basis</x:v>
      </x:c>
      <x:c r="C5" s="12" t="str">
        <x:v>Quantity</x:v>
      </x:c>
      <x:c r="D5" s="12" t="str">
        <x:v>Unit Price (INR, ex-GST)</x:v>
      </x:c>
      <x:c r="E5" s="12" t="str">
        <x:v>Amount (INR, ex-GST)</x:v>
      </x:c>
      <x:c r="F5" s="12" t="str">
        <x:v>GST</x:v>
      </x:c>
      <x:c r="G5" s="12" t="str">
        <x:v>Total (INR, incl. GST)</x:v>
      </x:c>
      <x:c r="H5" s="12" t="str">
        <x:v>Notes / Exceptions</x:v>
      </x:c>
    </x:row>
    <x:row r="6" ht="15" hidden="0" customHeight="1">
      <x:c r="A6" s="33" t="str">
        <x:v>Website revamp</x:v>
      </x:c>
      <x:c r="B6" s="33" t="str">
        <x:v>Fixed project fee</x:v>
      </x:c>
      <x:c r="C6" s="35" t="n">
        <x:v>1</x:v>
      </x:c>
      <x:c r="D6" s="36"/>
      <x:c r="E6" s="37" t="str">
        <x:f>IF(D6="","",C6*D6)</x:f>
      </x:c>
      <x:c r="F6" s="37" t="str">
        <x:f>IF(E6="","",E6*18%)</x:f>
      </x:c>
      <x:c r="G6" s="37" t="str">
        <x:f>IF(E6="","",E6+F6)</x:f>
      </x:c>
      <x:c r="H6" s="34"/>
    </x:row>
    <x:row r="7" ht="15" hidden="0" customHeight="1">
      <x:c r="A7" s="33" t="str">
        <x:v>Integrated monthly retainer</x:v>
      </x:c>
      <x:c r="B7" s="33" t="str">
        <x:v>Monthly fee</x:v>
      </x:c>
      <x:c r="C7" s="35" t="n">
        <x:v>12</x:v>
      </x:c>
      <x:c r="D7" s="36"/>
      <x:c r="E7" s="37" t="str">
        <x:f>IF(D7="","",C7*D7)</x:f>
      </x:c>
      <x:c r="F7" s="37" t="str">
        <x:f>IF(E7="","",E7*18%)</x:f>
      </x:c>
      <x:c r="G7" s="37" t="str">
        <x:f>IF(E7="","",E7+F7)</x:f>
      </x:c>
      <x:c r="H7" s="34"/>
    </x:row>
    <x:row r="8" ht="15" hidden="0" customHeight="1">
      <x:c r="A8" s="33" t="str">
        <x:v>Mandatory tools/licences</x:v>
      </x:c>
      <x:c r="B8" s="33" t="str">
        <x:v>Annual unavoidable cost</x:v>
      </x:c>
      <x:c r="C8" s="35" t="n">
        <x:v>1</x:v>
      </x:c>
      <x:c r="D8" s="36"/>
      <x:c r="E8" s="37" t="str">
        <x:f>IF(D8="","",C8*D8)</x:f>
      </x:c>
      <x:c r="F8" s="37" t="str">
        <x:f>IF(E8="","",E8*18%)</x:f>
      </x:c>
      <x:c r="G8" s="37" t="str">
        <x:f>IF(E8="","",E8+F8)</x:f>
      </x:c>
      <x:c r="H8" s="34"/>
    </x:row>
    <x:row r="9" ht="15" hidden="0" customHeight="1">
      <x:c r="A9" s="33" t="str">
        <x:v>Optional 24x7 Severity 1 support</x:v>
      </x:c>
      <x:c r="B9" s="33" t="str">
        <x:v>Annual optional cost</x:v>
      </x:c>
      <x:c r="C9" s="35" t="n">
        <x:v>1</x:v>
      </x:c>
      <x:c r="D9" s="36"/>
      <x:c r="E9" s="37" t="str">
        <x:f>IF(D9="","",C9*D9)</x:f>
      </x:c>
      <x:c r="F9" s="37" t="str">
        <x:f>IF(E9="","",E9*18%)</x:f>
      </x:c>
      <x:c r="G9" s="37" t="str">
        <x:f>IF(E9="","",E9+F9)</x:f>
      </x:c>
      <x:c r="H9" s="34"/>
    </x:row>
    <x:row r="10" ht="15" hidden="0" customHeight="1">
      <x:c r="A10" s="33" t="str">
        <x:v>Other optional services</x:v>
      </x:c>
      <x:c r="B10" s="33" t="str">
        <x:v>Annual optional cost</x:v>
      </x:c>
      <x:c r="C10" s="35" t="n">
        <x:v>1</x:v>
      </x:c>
      <x:c r="D10" s="36"/>
      <x:c r="E10" s="37" t="str">
        <x:f>IF(D10="","",C10*D10)</x:f>
      </x:c>
      <x:c r="F10" s="37" t="str">
        <x:f>IF(E10="","",E10*18%)</x:f>
      </x:c>
      <x:c r="G10" s="37" t="str">
        <x:f>IF(E10="","",E10+F10)</x:f>
      </x:c>
      <x:c r="H10" s="34"/>
    </x:row>
    <x:row r="11" ht="15" hidden="0" customHeight="1">
      <x:c r="A11" s="42" t="str">
        <x:v>Year 1 Comparable Total (website + 12-month retainer + mandatory costs)</x:v>
      </x:c>
      <x:c r="B11" s="42"/>
      <x:c r="C11" s="42"/>
      <x:c r="D11" s="42"/>
      <x:c r="E11" s="43" t="str">
        <x:f>IF(COUNT(D6:D8)=0,"",SUM(E6:E8))</x:f>
      </x:c>
      <x:c r="F11" s="43" t="str">
        <x:f>IF(COUNT(D6:D8)=0,"",SUM(F6:F8))</x:f>
      </x:c>
      <x:c r="G11" s="43" t="str">
        <x:f>IF(COUNT(D6:D8)=0,"",SUM(G6:G8))</x:f>
      </x:c>
      <x:c r="H11" s="42" t="str">
        <x:v>Optional rows 9-10 excluded</x:v>
      </x:c>
    </x:row>
    <x:row r="12"/>
    <x:row r="13" ht="15" hidden="0" customHeight="1">
      <x:c r="A13" s="30" t="str">
        <x:v>B. Common Four-Tier SLA</x:v>
      </x:c>
      <x:c r="B13" s="30"/>
      <x:c r="C13" s="30"/>
      <x:c r="D13" s="30"/>
      <x:c r="E13" s="30"/>
      <x:c r="F13" s="30"/>
      <x:c r="G13" s="30"/>
      <x:c r="H13" s="30"/>
    </x:row>
    <x:row r="14" ht="15" hidden="0" customHeight="1">
      <x:c r="A14" s="12" t="str">
        <x:v>Priority</x:v>
      </x:c>
      <x:c r="B14" s="12" t="str">
        <x:v>Definition</x:v>
      </x:c>
      <x:c r="C14" s="12" t="str">
        <x:v>Response Time</x:v>
      </x:c>
      <x:c r="D14" s="12" t="str">
        <x:v>Resolution / Workaround</x:v>
      </x:c>
      <x:c r="E14" s="12" t="str">
        <x:v>Support Window</x:v>
      </x:c>
      <x:c r="F14" s="12" t="str">
        <x:v>Update Cadence</x:v>
      </x:c>
      <x:c r="G14" s="12" t="str">
        <x:v>Vendor Compliance</x:v>
      </x:c>
      <x:c r="H14" s="12" t="str">
        <x:v>Exception</x:v>
      </x:c>
    </x:row>
    <x:row r="15" ht="21.600000381469727" hidden="0" customHeight="1">
      <x:c r="A15" s="44" t="str">
        <x:v>Severity 1 - Critical</x:v>
      </x:c>
      <x:c r="B15" s="44" t="str">
        <x:v>Site unavailable, active compromise or all lead forms failing</x:v>
      </x:c>
      <x:c r="C15" s="44" t="str">
        <x:v>1 hour</x:v>
      </x:c>
      <x:c r="D15" s="44" t="str">
        <x:v>4 hours</x:v>
      </x:c>
      <x:c r="E15" s="44" t="str">
        <x:v>Mon-Fri, 9:00-18:00 IST</x:v>
      </x:c>
      <x:c r="F15" s="44" t="str">
        <x:v>Every 2 hours until stable</x:v>
      </x:c>
      <x:c r="G15" s="45" t="str"/>
      <x:c r="H15" s="45" t="str"/>
    </x:row>
    <x:row r="16" ht="15" hidden="0" customHeight="1">
      <x:c r="A16" s="44" t="str">
        <x:v>Severity 2 - High</x:v>
      </x:c>
      <x:c r="B16" s="44" t="str">
        <x:v>Major journey or important functionality broken</x:v>
      </x:c>
      <x:c r="C16" s="44" t="str">
        <x:v>2 hours</x:v>
      </x:c>
      <x:c r="D16" s="44" t="str">
        <x:v>8 business hours</x:v>
      </x:c>
      <x:c r="E16" s="44" t="str">
        <x:v>Mon-Fri, 9:00-18:00 IST</x:v>
      </x:c>
      <x:c r="F16" s="44" t="str">
        <x:v>At agreed milestones</x:v>
      </x:c>
      <x:c r="G16" s="45" t="str"/>
      <x:c r="H16" s="45" t="str"/>
    </x:row>
    <x:row r="17" ht="15" hidden="0" customHeight="1">
      <x:c r="A17" s="44" t="str">
        <x:v>Severity 3 - Medium</x:v>
      </x:c>
      <x:c r="B17" s="44" t="str">
        <x:v>Localised defect with a reasonable workaround</x:v>
      </x:c>
      <x:c r="C17" s="44" t="str">
        <x:v>4 business hours</x:v>
      </x:c>
      <x:c r="D17" s="44" t="str">
        <x:v>2 business days</x:v>
      </x:c>
      <x:c r="E17" s="44" t="str">
        <x:v>Mon-Fri, 9:00-18:00 IST</x:v>
      </x:c>
      <x:c r="F17" s="44" t="str">
        <x:v>Daily while open</x:v>
      </x:c>
      <x:c r="G17" s="45" t="str"/>
      <x:c r="H17" s="45" t="str"/>
    </x:row>
    <x:row r="18" ht="15" hidden="0" customHeight="1">
      <x:c r="A18" s="44" t="str">
        <x:v>Severity 4 - Low</x:v>
      </x:c>
      <x:c r="B18" s="44" t="str">
        <x:v>Cosmetic, minor content or low-impact issue</x:v>
      </x:c>
      <x:c r="C18" s="44" t="str">
        <x:v>1 business day</x:v>
      </x:c>
      <x:c r="D18" s="44" t="str">
        <x:v>5 business days / planned release</x:v>
      </x:c>
      <x:c r="E18" s="44" t="str">
        <x:v>Mon-Fri, 9:00-18:00 IST</x:v>
      </x:c>
      <x:c r="F18" s="44" t="str">
        <x:v>At closure</x:v>
      </x:c>
      <x:c r="G18" s="45" t="str"/>
      <x:c r="H18" s="45" t="str"/>
    </x:row>
    <x:row r="19"/>
    <x:row r="20" ht="15" hidden="0" customHeight="1">
      <x:c r="A20" s="30" t="str">
        <x:v>C. Common Commercial Terms</x:v>
      </x:c>
      <x:c r="B20" s="30"/>
      <x:c r="C20" s="30"/>
      <x:c r="D20" s="30"/>
      <x:c r="E20" s="30"/>
      <x:c r="F20" s="30"/>
      <x:c r="G20" s="30"/>
      <x:c r="H20" s="30"/>
    </x:row>
    <x:row r="21" ht="15" hidden="0" customHeight="1">
      <x:c r="A21" s="12" t="str">
        <x:v>Term</x:v>
      </x:c>
      <x:c r="B21" s="12" t="str">
        <x:v>Common requirement</x:v>
      </x:c>
      <x:c r="C21" s="12" t="str">
        <x:v>Vendor response / exception</x:v>
      </x:c>
      <x:c r="D21" s="12"/>
      <x:c r="E21" s="12"/>
      <x:c r="F21" s="12"/>
      <x:c r="G21" s="12"/>
      <x:c r="H21" s="12"/>
    </x:row>
    <x:row r="22" ht="15" hidden="0" customHeight="1">
      <x:c r="A22" s="44" t="str">
        <x:v>Country scope</x:v>
      </x:c>
      <x:c r="B22" s="44" t="str">
        <x:v>India + UAE; English</x:v>
      </x:c>
      <x:c r="C22" s="45" t="str"/>
      <x:c r="D22" s="45"/>
      <x:c r="E22" s="45"/>
      <x:c r="F22" s="45"/>
      <x:c r="G22" s="45"/>
      <x:c r="H22" s="45"/>
    </x:row>
    <x:row r="23" ht="15" hidden="0" customHeight="1">
      <x:c r="A23" s="44" t="str">
        <x:v>Website timeline</x:v>
      </x:c>
      <x:c r="B23" s="44" t="str">
        <x:v>12-14 weeks</x:v>
      </x:c>
      <x:c r="C23" s="45" t="str"/>
      <x:c r="D23" s="45"/>
      <x:c r="E23" s="45"/>
      <x:c r="F23" s="45"/>
      <x:c r="G23" s="45"/>
      <x:c r="H23" s="45"/>
    </x:row>
    <x:row r="24" ht="15" hidden="0" customHeight="1">
      <x:c r="A24" s="44" t="str">
        <x:v>Retainer term</x:v>
      </x:c>
      <x:c r="B24" s="44" t="str">
        <x:v>12 months with 90-day performance review</x:v>
      </x:c>
      <x:c r="C24" s="45" t="str"/>
      <x:c r="D24" s="45"/>
      <x:c r="E24" s="45"/>
      <x:c r="F24" s="45"/>
      <x:c r="G24" s="45"/>
      <x:c r="H24" s="45"/>
    </x:row>
    <x:row r="25" ht="15" hidden="0" customHeight="1">
      <x:c r="A25" s="44" t="str">
        <x:v>Payment term</x:v>
      </x:c>
      <x:c r="B25" s="44" t="str">
        <x:v>15 calendar days from undisputed invoice</x:v>
      </x:c>
      <x:c r="C25" s="45" t="str"/>
      <x:c r="D25" s="45"/>
      <x:c r="E25" s="45"/>
      <x:c r="F25" s="45"/>
      <x:c r="G25" s="45"/>
      <x:c r="H25" s="45"/>
    </x:row>
    <x:row r="26" ht="15" hidden="0" customHeight="1">
      <x:c r="A26" s="44" t="str">
        <x:v>Retainer billing</x:v>
      </x:c>
      <x:c r="B26" s="44" t="str">
        <x:v>Monthly in arrears</x:v>
      </x:c>
      <x:c r="C26" s="45" t="str"/>
      <x:c r="D26" s="45"/>
      <x:c r="E26" s="45"/>
      <x:c r="F26" s="45"/>
      <x:c r="G26" s="45"/>
      <x:c r="H26" s="45"/>
    </x:row>
    <x:row r="27" ht="15" hidden="0" customHeight="1">
      <x:c r="A27" s="44" t="str">
        <x:v>Website payment</x:v>
      </x:c>
      <x:c r="B27" s="44" t="str">
        <x:v>20% / 20% / 25% / 25% / 10% milestone schedule</x:v>
      </x:c>
      <x:c r="C27" s="45" t="str"/>
      <x:c r="D27" s="45"/>
      <x:c r="E27" s="45"/>
      <x:c r="F27" s="45"/>
      <x:c r="G27" s="45"/>
      <x:c r="H27" s="45"/>
    </x:row>
    <x:row r="28" ht="15" hidden="0" customHeight="1">
      <x:c r="A28" s="44" t="str">
        <x:v>Quote validity</x:v>
      </x:c>
      <x:c r="B28" s="44" t="str">
        <x:v>Minimum 30 calendar days</x:v>
      </x:c>
      <x:c r="C28" s="45" t="str"/>
      <x:c r="D28" s="45"/>
      <x:c r="E28" s="45"/>
      <x:c r="F28" s="45"/>
      <x:c r="G28" s="45"/>
      <x:c r="H28" s="45"/>
    </x:row>
    <x:row r="29" ht="15" hidden="0" customHeight="1">
      <x:c r="A29" s="44" t="str">
        <x:v>Taxes</x:v>
      </x:c>
      <x:c r="B29" s="44" t="str">
        <x:v>GST shown separately; TDS as applicable</x:v>
      </x:c>
      <x:c r="C29" s="45" t="str"/>
      <x:c r="D29" s="45"/>
      <x:c r="E29" s="45"/>
      <x:c r="F29" s="45"/>
      <x:c r="G29" s="45"/>
      <x:c r="H29" s="45"/>
    </x:row>
    <x:row r="30"/>
    <x:row r="31" ht="15" hidden="0" customHeight="1">
      <x:c r="A31" s="30" t="str">
        <x:v>D. Vendor Details</x:v>
      </x:c>
      <x:c r="B31" s="30"/>
      <x:c r="C31" s="30"/>
      <x:c r="D31" s="30"/>
      <x:c r="E31" s="30"/>
      <x:c r="F31" s="30"/>
      <x:c r="G31" s="30"/>
      <x:c r="H31" s="30"/>
    </x:row>
    <x:row r="32" ht="15" hidden="0" customHeight="1">
      <x:c r="A32" s="49" t="str">
        <x:v>Agency legal name</x:v>
      </x:c>
      <x:c r="B32" s="34" t="str"/>
      <x:c r="C32" s="34"/>
      <x:c r="D32" s="34"/>
      <x:c r="E32" s="34"/>
      <x:c r="F32" s="34"/>
      <x:c r="G32" s="34"/>
      <x:c r="H32" s="34"/>
    </x:row>
    <x:row r="33" ht="15" hidden="0" customHeight="1">
      <x:c r="A33" s="49" t="str">
        <x:v>Primary contact</x:v>
      </x:c>
      <x:c r="B33" s="34" t="str"/>
      <x:c r="C33" s="34"/>
      <x:c r="D33" s="34"/>
      <x:c r="E33" s="34"/>
      <x:c r="F33" s="34"/>
      <x:c r="G33" s="34"/>
      <x:c r="H33" s="34"/>
    </x:row>
    <x:row r="34" ht="15" hidden="0" customHeight="1">
      <x:c r="A34" s="49" t="str">
        <x:v>Email and phone</x:v>
      </x:c>
      <x:c r="B34" s="34" t="str"/>
      <x:c r="C34" s="34"/>
      <x:c r="D34" s="34"/>
      <x:c r="E34" s="34"/>
      <x:c r="F34" s="34"/>
      <x:c r="G34" s="34"/>
      <x:c r="H34" s="34"/>
    </x:row>
    <x:row r="35" ht="15" hidden="0" customHeight="1">
      <x:c r="A35" s="49" t="str">
        <x:v>Named account lead</x:v>
      </x:c>
      <x:c r="B35" s="34" t="str"/>
      <x:c r="C35" s="34"/>
      <x:c r="D35" s="34"/>
      <x:c r="E35" s="34"/>
      <x:c r="F35" s="34"/>
      <x:c r="G35" s="34"/>
      <x:c r="H35" s="34"/>
    </x:row>
    <x:row r="36" ht="15" hidden="0" customHeight="1">
      <x:c r="A36" s="49" t="str">
        <x:v>Quote valid until</x:v>
      </x:c>
      <x:c r="B36" s="34" t="str"/>
      <x:c r="C36" s="34"/>
      <x:c r="D36" s="34"/>
      <x:c r="E36" s="34"/>
      <x:c r="F36" s="34"/>
      <x:c r="G36" s="34"/>
      <x:c r="H36" s="34"/>
    </x:row>
    <x:row r="37" ht="15" hidden="0" customHeight="1">
      <x:c r="A37" s="49" t="str">
        <x:v>Authorised signatory</x:v>
      </x:c>
      <x:c r="B37" s="34" t="str"/>
      <x:c r="C37" s="34"/>
      <x:c r="D37" s="34"/>
      <x:c r="E37" s="34"/>
      <x:c r="F37" s="34"/>
      <x:c r="G37" s="34"/>
      <x:c r="H37" s="34"/>
    </x:row>
  </x:sheetData>
  <x:mergeCells>
    <x:mergeCell ref="A1:H1"/>
    <x:mergeCell ref="A2:H2"/>
    <x:mergeCell ref="A4:H4"/>
    <x:mergeCell ref="A11:D11"/>
    <x:mergeCell ref="A13:H13"/>
    <x:mergeCell ref="A20:H20"/>
    <x:mergeCell ref="C21:H21"/>
    <x:mergeCell ref="C22:H22"/>
    <x:mergeCell ref="C23:H23"/>
    <x:mergeCell ref="C24:H24"/>
    <x:mergeCell ref="C25:H25"/>
    <x:mergeCell ref="C26:H26"/>
    <x:mergeCell ref="C27:H27"/>
    <x:mergeCell ref="C28:H28"/>
    <x:mergeCell ref="C29:H29"/>
    <x:mergeCell ref="A31:H31"/>
    <x:mergeCell ref="B32:H32"/>
    <x:mergeCell ref="B33:H33"/>
    <x:mergeCell ref="B34:H34"/>
    <x:mergeCell ref="B35:H35"/>
    <x:mergeCell ref="B36:H36"/>
    <x:mergeCell ref="B37:H37"/>
  </x:mergeCells>
  <x:conditionalFormatting sqref="G15:G18">
    <x:cfRule type="containsText" dxfId="3" priority="1" operator="containsText" text="Comply"/>
    <x:cfRule type="containsText" dxfId="4" priority="2" operator="containsText" text="Partial"/>
    <x:cfRule type="containsText" dxfId="5" priority="3" operator="containsText" text="Exception"/>
  </x:conditionalFormatting>
  <x:dataValidations count="1">
    <x:dataValidation type="list" sqref="G15:G18">
      <x:formula1>"Comply,Partial,Exception"</x:formula1>
    </x:dataValidation>
  </x:dataValidations>
  <x:pageMargins left="0.7" right="0.7" top="0.75" bottom="0.75" header="0.3" footer="0.3"/>
</x:worksheet>
</file>